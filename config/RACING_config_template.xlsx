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hearc365-my.sharepoint.com/personal/philippe_terrier_he-arc_ch/Documents/RACING/Final R scripts/"/>
    </mc:Choice>
  </mc:AlternateContent>
  <xr:revisionPtr revIDLastSave="226" documentId="11_C7C554CD4A9103D328A8B50CAA9ACC139CF54C64" xr6:coauthVersionLast="47" xr6:coauthVersionMax="47" xr10:uidLastSave="{CC5D6A3B-DF1D-4116-8DB9-F32CC3CC9D64}"/>
  <bookViews>
    <workbookView xWindow="-110" yWindow="-110" windowWidth="19420" windowHeight="10300" xr2:uid="{00000000-000D-0000-FFFF-FFFF00000000}"/>
  </bookViews>
  <sheets>
    <sheet name="1_Configuration" sheetId="1" r:id="rId1"/>
    <sheet name="2_Documentation"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 l="1"/>
</calcChain>
</file>

<file path=xl/sharedStrings.xml><?xml version="1.0" encoding="utf-8"?>
<sst xmlns="http://schemas.openxmlformats.org/spreadsheetml/2006/main" count="222" uniqueCount="174">
  <si>
    <t>Configure parameters step-by-step, then run the R script to process all files</t>
  </si>
  <si>
    <t>Legend:</t>
  </si>
  <si>
    <t>Yellow cells</t>
  </si>
  <si>
    <t>═══ STEP 1: INPUT DATA ═══</t>
  </si>
  <si>
    <t>#</t>
  </si>
  <si>
    <t>Parameter</t>
  </si>
  <si>
    <t>Value</t>
  </si>
  <si>
    <t>Units</t>
  </si>
  <si>
    <t>Description</t>
  </si>
  <si>
    <t>1.1</t>
  </si>
  <si>
    <t>data_folder</t>
  </si>
  <si>
    <t>Folder containing your accelerometer CSV files</t>
  </si>
  <si>
    <t>1.2</t>
  </si>
  <si>
    <t>sampling_frequency</t>
  </si>
  <si>
    <t>Hz</t>
  </si>
  <si>
    <t>Sampling rate of your accelerometer (most devices: 100-256 Hz)</t>
  </si>
  <si>
    <t>1.3</t>
  </si>
  <si>
    <t>column_ap</t>
  </si>
  <si>
    <t>Column number for Anteroposterior (forward-backward) acceleration</t>
  </si>
  <si>
    <t>1.4</t>
  </si>
  <si>
    <t>column_v</t>
  </si>
  <si>
    <t>Column number for Vertical (up-down) acceleration</t>
  </si>
  <si>
    <t>1.5</t>
  </si>
  <si>
    <t>column_ml</t>
  </si>
  <si>
    <t>Column number for Mediolateral (side-to-side) acceleration</t>
  </si>
  <si>
    <t>1.6</t>
  </si>
  <si>
    <t>acceleration_units</t>
  </si>
  <si>
    <t>Units of acceleration: 'g' (Earth gravity) or 'm/s2'</t>
  </si>
  <si>
    <t>1.7</t>
  </si>
  <si>
    <t>csv_has_header</t>
  </si>
  <si>
    <t>FALSE</t>
  </si>
  <si>
    <t>1.8</t>
  </si>
  <si>
    <t>csv_delimiter</t>
  </si>
  <si>
    <t>,</t>
  </si>
  <si>
    <t>Column separator: comma (,) or semicolon (;) or tab</t>
  </si>
  <si>
    <t>═══ STEP 2: PREPROCESSING (Tilt Correction) ═══</t>
  </si>
  <si>
    <t>2.1</t>
  </si>
  <si>
    <t>apply_tilt_correction</t>
  </si>
  <si>
    <t>TRUE</t>
  </si>
  <si>
    <t>Apply Moe-Nilssen tilt correction? TRUE (recommended) or FALSE</t>
  </si>
  <si>
    <t>2.2</t>
  </si>
  <si>
    <t>auto_detect_orientation</t>
  </si>
  <si>
    <t>Auto-detect if sensor was mounted upside-down? TRUE or FALSE</t>
  </si>
  <si>
    <t>═══ STEP 3: SIGNAL TRUNCATION &amp; RESAMPLING ═══</t>
  </si>
  <si>
    <t>3.1</t>
  </si>
  <si>
    <t>target_steps</t>
  </si>
  <si>
    <t>steps</t>
  </si>
  <si>
    <t>3.2</t>
  </si>
  <si>
    <t>samples_per_step</t>
  </si>
  <si>
    <t>samples</t>
  </si>
  <si>
    <t>3.3</t>
  </si>
  <si>
    <t>target_samples</t>
  </si>
  <si>
    <t>═══ STEP 4: STEP FREQUENCY DETECTION ═══</t>
  </si>
  <si>
    <t>4.1</t>
  </si>
  <si>
    <t>sf_freq_min</t>
  </si>
  <si>
    <t>4.2</t>
  </si>
  <si>
    <t>sf_freq_max</t>
  </si>
  <si>
    <t>═══ STEP 5: LINEAR METRICS (RMS, Regularity) ═══</t>
  </si>
  <si>
    <t>5.1</t>
  </si>
  <si>
    <t>acf_max_lag</t>
  </si>
  <si>
    <t>5.2</t>
  </si>
  <si>
    <t>peak_min_distance</t>
  </si>
  <si>
    <t>═══ STEP 6: PHASE SPACE RECONSTRUCTION (AMI) ═══</t>
  </si>
  <si>
    <t>6.1</t>
  </si>
  <si>
    <t>ami_n_bins</t>
  </si>
  <si>
    <t>bins</t>
  </si>
  <si>
    <t>6.2</t>
  </si>
  <si>
    <t>ami_n_lags</t>
  </si>
  <si>
    <t>6.3</t>
  </si>
  <si>
    <t>embedding_dimension</t>
  </si>
  <si>
    <t>═══ STEP 7: DIVERGENCE ANALYSIS (LDS &amp; ACI) ═══</t>
  </si>
  <si>
    <t>7.1</t>
  </si>
  <si>
    <t>divergence_length</t>
  </si>
  <si>
    <t>7.2</t>
  </si>
  <si>
    <t>mean_period</t>
  </si>
  <si>
    <t>7.3</t>
  </si>
  <si>
    <t>lds_range_end</t>
  </si>
  <si>
    <t>strides</t>
  </si>
  <si>
    <t>7.4</t>
  </si>
  <si>
    <t>aci_range_start</t>
  </si>
  <si>
    <t>7.5</t>
  </si>
  <si>
    <t>aci_range_end</t>
  </si>
  <si>
    <t>═══ STEP 8: OUTPUT OPTIONS ═══</t>
  </si>
  <si>
    <t>8.1</t>
  </si>
  <si>
    <t>output_folder</t>
  </si>
  <si>
    <t>Folder where results will be saved</t>
  </si>
  <si>
    <t>8.2</t>
  </si>
  <si>
    <t>study_name</t>
  </si>
  <si>
    <t>Name for output files (e.g., 'MyStudy_results.xlsx')</t>
  </si>
  <si>
    <t>8.3</t>
  </si>
  <si>
    <t>export_divergence_curves</t>
  </si>
  <si>
    <t>Save divergence curves as CSV? TRUE or FALSE. Useful for visual inspection.</t>
  </si>
  <si>
    <t>8.4</t>
  </si>
  <si>
    <t>export_resampled_signals</t>
  </si>
  <si>
    <t>Save resampled signals as CSV? TRUE or FALSE. For debugging.</t>
  </si>
  <si>
    <t>RACING Gait Analysis - Documentation</t>
  </si>
  <si>
    <t>This Excel file configures batch processing for accelerometer-based gait analysis.</t>
  </si>
  <si>
    <t>═══ HOW TO USE ═══</t>
  </si>
  <si>
    <t>1. Fill in the '1_Configuration' sheet with your data paths and parameters</t>
  </si>
  <si>
    <t>═══ OUTPUT METRICS ═══</t>
  </si>
  <si>
    <t>SF_hz: Step frequency detected from vertical acceleration (Hz)</t>
  </si>
  <si>
    <t>RMS_norm: Root mean square of acceleration magnitude (g) - movement intensity</t>
  </si>
  <si>
    <t>AMI_*: Average Mutual Information first minimum - optimal time delay τ (samples)</t>
  </si>
  <si>
    <t xml:space="preserve">         Used for phase space reconstruction before Lyapunov analysis</t>
  </si>
  <si>
    <t>LDS_*: Local Dynamic Stability - short-term Lyapunov exponent (λ/stride)</t>
  </si>
  <si>
    <t xml:space="preserve">        Higher values = less stable gait (trajectories separate faster)</t>
  </si>
  <si>
    <t>ACI_*: Attractor Complexity Index - long-term divergence slope (λ/stride)</t>
  </si>
  <si>
    <t>═══ AXIS CONVENTION ═══</t>
  </si>
  <si>
    <t>x = Anteroposterior (AP): forward-backward direction</t>
  </si>
  <si>
    <t>y = Vertical (V): up-down direction (aligned with gravity)</t>
  </si>
  <si>
    <t>z = Mediolateral (ML): side-to-side direction</t>
  </si>
  <si>
    <t>norm = Vector magnitude: sqrt(x² + y² + z²) - 1g</t>
  </si>
  <si>
    <t>═══ KEY PARAMETERS ═══</t>
  </si>
  <si>
    <t>target_steps (default: 250):</t>
  </si>
  <si>
    <t xml:space="preserve">  Number of consecutive steps to analyze. Longer = more reliable estimates,</t>
  </si>
  <si>
    <t>aci_range_start/end (default: 5-12 strides):</t>
  </si>
  <si>
    <t xml:space="preserve">  Region of the divergence curve used to compute ACI.</t>
  </si>
  <si>
    <t xml:space="preserve">  Should be in the linear portion after initial saturation.</t>
  </si>
  <si>
    <t xml:space="preserve">  Check your divergence curves if results seem unusual.</t>
  </si>
  <si>
    <t>═══ REFERENCES ═══</t>
  </si>
  <si>
    <t>Rosenstein, M.T., Collins, J.J. and De Luca, C.J. (1993)</t>
  </si>
  <si>
    <t xml:space="preserve">  'A practical method for calculating largest Lyapunov exponents'</t>
  </si>
  <si>
    <t xml:space="preserve">  Physica D, 65, 117-134. DOI: 10.1016/0167-2789(93)90009-P</t>
  </si>
  <si>
    <t>Moe-Nilssen, R. (1998)</t>
  </si>
  <si>
    <t xml:space="preserve">  'A new method for evaluating motor control in gait'</t>
  </si>
  <si>
    <t xml:space="preserve">  Clinical Biomechanics, 13(4-5), 320-327</t>
  </si>
  <si>
    <t>Fraser, A.M. &amp; Swinney, H.L. (1986)</t>
  </si>
  <si>
    <t xml:space="preserve">  'Independent coordinates for strange attractors from mutual information'</t>
  </si>
  <si>
    <t xml:space="preserve">  Physical Review A, 33(2), 1134</t>
  </si>
  <si>
    <t>Piergiovanni, S., &amp; Terrier, P. (2024)</t>
  </si>
  <si>
    <t>═══ CONTACT ═══</t>
  </si>
  <si>
    <t>RACING Project - ORD 2025</t>
  </si>
  <si>
    <t>HE-Arc (Haute École Arc), Switzerland</t>
  </si>
  <si>
    <t>It implements validated algorithms for computing linear and nonlinear gait metrics.</t>
  </si>
  <si>
    <t>RMS_ratio_ml_norm: Ratio of mediolateral to total RMS - proxy for lateral gait stability</t>
  </si>
  <si>
    <t>step_reg: Step regularity from autocorrelation (atanh-transformed), step regularity</t>
  </si>
  <si>
    <t>stride_reg: Stride regularity from autocorrelation (atanh-transformed), stride regularity</t>
  </si>
  <si>
    <t xml:space="preserve">        Measures rate of divergence over 0-1 step (0.5 stride)</t>
  </si>
  <si>
    <t xml:space="preserve">        Measures divergence rate over 5-12 strides, range of the ACIER study</t>
  </si>
  <si>
    <t xml:space="preserve">        Reflects the complexity of the gait attractor structure, proxy for gait automaticity</t>
  </si>
  <si>
    <t xml:space="preserve">  but requires longer walking trials. ACI (long-term DE) performed better with a minimum of 200 steps</t>
  </si>
  <si>
    <t xml:space="preserve">  'Validity of Linear and Nonlinear Measures of Gait Variability to Characterize Aging Gait with a Single Lower Back Accelerometer'</t>
  </si>
  <si>
    <t>Sensors (Basel, Switzerland), 24(23), 7427.</t>
  </si>
  <si>
    <t>Philippe.Terrier@he-arc.ch</t>
  </si>
  <si>
    <t>2. Run the R script: source('run_gait_analysis_batch.R')</t>
  </si>
  <si>
    <t>3. Results will be exported to an Excel spreadsheet (one row per analyzed file)</t>
  </si>
  <si>
    <t>ACIER / RACING Gait Analysis - Batch Processing Configuration</t>
  </si>
  <si>
    <t>Number of samples per step after resampling to standardized step duration. ACIER uses 75 samples/step, which normalizes temporal variability across subjects (e.g., 75 samples/step at 1.9 Hz step frequency ≈ 3.5 ms per sample). Higher values increase computation time but provide negligible improvement in nonlinear metric reliability.</t>
  </si>
  <si>
    <t xml:space="preserve"> Total samples after resampling (target_steps × samples_per_step). Automatically computed from sample_per_step and target_steps</t>
  </si>
  <si>
    <t>Preprocessing pipeline: (1) truncate to target_steps, (2) resample to standardized length. This ensures all subjects have the same temporal resolution for nonlinear analysis, regardless of their walking speed or step frequency. RMS, RMS Ratio, and Step/Stride regularity are computed on the truncated signals</t>
  </si>
  <si>
    <r>
      <t xml:space="preserve">Number of steps to extract from each trial. Optimal range: 200-300 steps (longer signals improve metric reliability). Set this to match your shortest trial; longer recordings will be truncated to ensure consistent analysis length across all files. </t>
    </r>
    <r>
      <rPr>
        <b/>
        <i/>
        <sz val="9"/>
        <color rgb="FF666666"/>
        <rFont val="Arial"/>
        <family val="2"/>
      </rPr>
      <t>WARNING:</t>
    </r>
    <r>
      <rPr>
        <i/>
        <sz val="9"/>
        <color rgb="FF666666"/>
        <rFont val="Arial"/>
        <family val="2"/>
      </rPr>
      <t xml:space="preserve"> Trials containing fewer steps than target_steps undergo temporal stretching during resampling, which distorts nonlinear metrics (LDS, ACI). Although results are computed, exclude trials with &gt;20% step deficit from your analysis (e.g., &lt;200 steps when target = 250). Additionally, avoid comparing linear metrics (RMS, regularity) across trials with substantially different actual step counts.</t>
    </r>
  </si>
  <si>
    <t>Minimum physiological step frequency (0.5 Hz = 30 steps/min, very slow)</t>
  </si>
  <si>
    <t>Maximum physiological step frequency (3.0 Hz = 180 steps/min, running)</t>
  </si>
  <si>
    <t>Automatic step frequency detection: FFT analysis on vertical acceleration identifies the dominant frequency peak closest to the physiological minimum (set by user). Works reliably for normal gait with typical asymmetry levels. Limitations: May misidentify SF in severely pathological gait or very slow walking. The detected SF is used to calculate the signal length needed for the target number of steps (truncation length).</t>
  </si>
  <si>
    <t>Yellow-highlighted cells contain parameters you should review and adapt to your specific dataset. Pre-filled values reflect ACIER study defaults and can be used as reference.</t>
  </si>
  <si>
    <t>Tilt correction and removes gravity effects from a tilted sensor. Uses Moe-Nilssen (1998) algorithm. Recommended: keep enabled.</t>
  </si>
  <si>
    <t>Does your CSV have a header row? TRUE for yes or FALSE for no</t>
  </si>
  <si>
    <t>Maximum lag for autocorrelation computation. Must capture at least two complete stride cycles. Optimized for step frequencies of 1.4-2.5 Hz; increase for very slow gait (&lt;1.4 Hz).</t>
  </si>
  <si>
    <t xml:space="preserve"> Minimum distance between peaks to avoid detecting false maxima within the same gait step. This  parameter ensures the algorithm finds distinct step and stride peaks rather than sub-harmonics or noise.</t>
  </si>
  <si>
    <t>Linear metrics (RMS, RMS ratios, step/stride regularity) are computed on truncated signals. The only configurable parameters are for the ACF analysis (step/stride regularity)</t>
  </si>
  <si>
    <t xml:space="preserve">Number of histogram bins for AMI calculation. 64 is standard for gait analysis. </t>
  </si>
  <si>
    <t>Phase space reconstruction step before computing Lyapunov exponents: AMI (Average Mutual Information) automatically finds the optimal time delay τ for embedding by identifying when the signal has sufficiently decorrelated from itself (first minimum of MI curve). ACIER defaults are optimized for resampled signals with 75 samples per step; adjust parameters proportionally if using substantially different temporal resolution in resampled signals.</t>
  </si>
  <si>
    <t>Search window for finding optimal time delay (AMI first minimum). Default: 100 lags is sufficient for standard 75 samples/step resampling. Adjustment rule: scale with temporal resolution (e.g., 50 samples/step → use ~67 lags; 100 samples/step → use ~133 lags)</t>
  </si>
  <si>
    <t>Embedding dimension (m=number of time-delayed copies for phase space reconstruction). Default: 5 (gait biomechanics standard). This value is stable across different gait patterns, populations, and conditions, validated by GFNN (Global False Nearest Neighbors) analysis in numerous studies. Users can confidently use the default for gait analysis. For non-standard application, consider running GFNN to determine optimal m. Note: computation time scales nonlinearly with embedding dimension.</t>
  </si>
  <si>
    <t xml:space="preserve"> Length of divergence curve. 1800 samples = 12 strides (at 75 samples/step × 2 steps/stride).</t>
  </si>
  <si>
    <t xml:space="preserve"> LDS computed over 0 to 1 step (0.5 stride). Standard for short-term stability.</t>
  </si>
  <si>
    <t>ACI fitting region START. Default: 5 strides. Adjust based on your divergence curves. Usual value is 4</t>
  </si>
  <si>
    <t>ACI fitting region END. Default: 12 strides. Must be &lt; divergence_length in strides. Usual value is 10</t>
  </si>
  <si>
    <t>Rosenstein's algorithm (1993) computes logarithmic divergence curves quantifying how neighboring trajectories in reconstructed phase space drift apart over time. The temporal axis is expressed in strides (standardized across all trials by resampling procedure). Divergence exponents are extracted via linear regression on two distinct ranges: (1) LDS = short-term divergence exponent (0-0.5 stride range) quantifies local dynamic stability, (2) ACI = long-term divergence exponent (5-12 stride range) quantifies attractor complexity and gait automaticity. Range parameters optimized and validated in Piergiovanni &amp; Terrier (2024), Scientific Reports, 14(1), 15784.</t>
  </si>
  <si>
    <t>Temporal exclusion window: minimum time separation between nearest neighbors in phase space. Prevents the algorithm from incorrectly identifying consecutive samples within the same step as "dynamically similar" when they're simply time-adjacent. Default: 75 (matches samples_per_step). Rule:  set mean_period = samples_per_step to ensure neighbors come from genuinely different steps.</t>
  </si>
  <si>
    <t>.</t>
  </si>
  <si>
    <t>.\Outdoor</t>
  </si>
  <si>
    <t>Outdoor</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</si>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</sst>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i/>
      <sz val="9"/>
      <color rgb="FF666666"/>
      <name val="Arial"/>
    </font>
    <font>
      <b/>
      <sz val="10"/>
      <name val="Arial"/>
    </font>
    <font>
      <b/>
      <sz val="12"/>
      <color rgb="FF2F5496"/>
      <name val="Arial"/>
    </font>
    <font>
      <b/>
      <sz val="11"/>
      <color rgb="FFFFFFFF"/>
      <name val="Arial"/>
    </font>
    <font>
      <sz val="10"/>
      <name val="Arial"/>
    </font>
    <font>
      <b/>
      <sz val="16"/>
      <name val="Arial"/>
    </font>
    <font>
      <b/>
      <sz val="12"/>
      <name val="Arial"/>
    </font>
    <font>
      <sz val="10"/>
      <name val="Arial"/>
      <family val="2"/>
    </font>
    <font>
      <u/>
      <sz val="11"/>
      <color theme="10"/>
      <name val="Calibri"/>
      <family val="2"/>
      <scheme val="minor"/>
    </font>
    <font>
      <b/>
      <sz val="16"/>
      <color rgb="FF2F5496"/>
      <name val="Arial"/>
      <family val="2"/>
    </font>
    <font>
      <i/>
      <sz val="9"/>
      <color rgb="FF666666"/>
      <name val="Arial"/>
      <family val="2"/>
    </font>
    <font>
      <b/>
      <i/>
      <sz val="9"/>
      <color rgb="FF666666"/>
      <name val="Arial"/>
      <family val="2"/>
    </font>
    <font>
      <sz val="12"/>
      <color theme="1"/>
      <name val="Calibri"/>
      <family val="2"/>
      <scheme val="minor"/>
    </font>
  </fonts>
  <fills count="5">
    <fill>
      <patternFill patternType="none"/>
    </fill>
    <fill>
      <patternFill patternType="gray125"/>
    </fill>
    <fill>
      <patternFill patternType="solid">
        <fgColor rgb="FFFFFF99"/>
      </patternFill>
    </fill>
    <fill>
      <patternFill patternType="solid">
        <fgColor rgb="FFB4C6E7"/>
      </patternFill>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31">
    <xf numFmtId="0" fontId="0" fillId="0" borderId="0" xfId="0"/>
    <xf numFmtId="0" fontId="2" fillId="0" borderId="0" xfId="0" applyFont="1"/>
    <xf numFmtId="0" fontId="4" fillId="4" borderId="0" xfId="0" applyFont="1" applyFill="1" applyAlignment="1">
      <alignment horizontal="center"/>
    </xf>
    <xf numFmtId="0" fontId="5" fillId="0" borderId="0" xfId="0" applyFont="1"/>
    <xf numFmtId="0" fontId="1" fillId="0" borderId="0" xfId="0" applyFont="1"/>
    <xf numFmtId="0" fontId="4" fillId="4" borderId="0" xfId="0" applyFont="1" applyFill="1"/>
    <xf numFmtId="0" fontId="6" fillId="0" borderId="0" xfId="0" applyFont="1"/>
    <xf numFmtId="0" fontId="7" fillId="0" borderId="0" xfId="0" applyFont="1"/>
    <xf numFmtId="0" fontId="8" fillId="0" borderId="0" xfId="0" applyFont="1"/>
    <xf numFmtId="0" fontId="9" fillId="0" borderId="0" xfId="1"/>
    <xf numFmtId="0" fontId="11" fillId="0" borderId="0" xfId="0" applyFont="1"/>
    <xf numFmtId="0" fontId="11" fillId="0" borderId="0" xfId="0" applyFont="1" applyAlignment="1">
      <alignment wrapText="1"/>
    </xf>
    <xf numFmtId="0" fontId="5" fillId="0" borderId="0" xfId="0" applyFont="1" applyAlignment="1">
      <alignment vertical="center"/>
    </xf>
    <xf numFmtId="0" fontId="2" fillId="0" borderId="0" xfId="0" applyFont="1" applyAlignment="1">
      <alignment vertical="center"/>
    </xf>
    <xf numFmtId="0" fontId="1" fillId="0" borderId="0" xfId="0" applyFont="1" applyAlignment="1">
      <alignment wrapText="1"/>
    </xf>
    <xf numFmtId="0" fontId="5" fillId="0" borderId="0" xfId="0" applyFont="1" applyAlignment="1">
      <alignment horizontal="left" vertical="center"/>
    </xf>
    <xf numFmtId="0" fontId="2" fillId="0" borderId="0" xfId="0" applyFont="1" applyAlignment="1">
      <alignment horizontal="left" vertical="center"/>
    </xf>
    <xf numFmtId="0" fontId="0" fillId="2" borderId="0" xfId="0" applyFill="1" applyAlignment="1">
      <alignment vertical="center"/>
    </xf>
    <xf numFmtId="0" fontId="0" fillId="2" borderId="1" xfId="0" applyFill="1" applyBorder="1" applyAlignment="1" applyProtection="1">
      <alignment horizontal="right"/>
      <protection locked="0"/>
    </xf>
    <xf numFmtId="0" fontId="0" fillId="2" borderId="1" xfId="0" applyFill="1" applyBorder="1" applyProtection="1">
      <protection locked="0"/>
    </xf>
    <xf numFmtId="0" fontId="0" fillId="2" borderId="1" xfId="0" applyFill="1" applyBorder="1" applyAlignment="1" applyProtection="1">
      <alignment vertical="center"/>
      <protection locked="0"/>
    </xf>
    <xf numFmtId="0" fontId="0" fillId="2" borderId="1" xfId="0" applyFill="1" applyBorder="1" applyAlignment="1" applyProtection="1">
      <alignment horizontal="right" vertical="center"/>
      <protection locked="0"/>
    </xf>
    <xf numFmtId="0" fontId="3" fillId="3" borderId="0" xfId="0" applyFont="1" applyFill="1"/>
    <xf numFmtId="0" fontId="0" fillId="0" borderId="0" xfId="0"/>
    <xf numFmtId="0" fontId="11" fillId="0" borderId="0" xfId="0" applyFont="1" applyAlignment="1">
      <alignment wrapText="1"/>
    </xf>
    <xf numFmtId="0" fontId="0" fillId="0" borderId="0" xfId="0" applyAlignment="1">
      <alignment wrapText="1"/>
    </xf>
    <xf numFmtId="0" fontId="1" fillId="0" borderId="0" xfId="0" applyFont="1" applyAlignment="1">
      <alignment horizontal="center"/>
    </xf>
    <xf numFmtId="0" fontId="10" fillId="0" borderId="0" xfId="0" applyFont="1" applyAlignment="1">
      <alignment horizontal="center"/>
    </xf>
    <xf numFmtId="0" fontId="1" fillId="0" borderId="0" xfId="0" applyFont="1" applyAlignment="1">
      <alignment wrapText="1"/>
    </xf>
    <xf numFmtId="0" fontId="13" fillId="0" borderId="0" xfId="0" applyFont="1" applyAlignment="1">
      <alignment horizontal="left" vertical="center" wrapText="1"/>
    </xf>
    <xf numFmtId="0" fontId="11" fillId="0" borderId="0" xfId="0" applyFont="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Philippe.Terrier@he-arc.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3"/>
  <sheetViews>
    <sheetView tabSelected="1" topLeftCell="A6" workbookViewId="0">
      <selection activeCell="C13" sqref="C13"/>
    </sheetView>
  </sheetViews>
  <sheetFormatPr baseColWidth="10" defaultColWidth="8.7265625" defaultRowHeight="14.5" x14ac:dyDescent="0.35"/>
  <cols>
    <col min="1" max="1" width="8.08984375" customWidth="1"/>
    <col min="2" max="2" width="30" customWidth="1"/>
    <col min="3" max="3" width="25" customWidth="1"/>
    <col min="4" max="4" width="10" customWidth="1"/>
    <col min="5" max="5" width="60" customWidth="1"/>
  </cols>
  <sheetData>
    <row r="1" spans="1:5" ht="20" x14ac:dyDescent="0.4">
      <c r="A1" s="27" t="s">
        <v>146</v>
      </c>
      <c r="B1" s="23"/>
      <c r="C1" s="23"/>
      <c r="D1" s="23"/>
      <c r="E1" s="23"/>
    </row>
    <row r="2" spans="1:5" x14ac:dyDescent="0.35">
      <c r="A2" s="26" t="s">
        <v>0</v>
      </c>
      <c r="B2" s="23"/>
      <c r="C2" s="23"/>
      <c r="D2" s="23"/>
      <c r="E2" s="23"/>
    </row>
    <row r="4" spans="1:5" ht="38" customHeight="1" x14ac:dyDescent="0.35">
      <c r="A4" s="13" t="s">
        <v>1</v>
      </c>
      <c r="B4" s="17" t="s">
        <v>2</v>
      </c>
      <c r="C4" s="29" t="s">
        <v>154</v>
      </c>
      <c r="D4" s="29"/>
      <c r="E4" s="29"/>
    </row>
    <row r="6" spans="1:5" ht="15.5" x14ac:dyDescent="0.35">
      <c r="A6" s="22" t="s">
        <v>3</v>
      </c>
      <c r="B6" s="23"/>
      <c r="C6" s="23"/>
      <c r="D6" s="23"/>
      <c r="E6" s="23"/>
    </row>
    <row r="7" spans="1:5" x14ac:dyDescent="0.35">
      <c r="A7" s="2" t="s">
        <v>4</v>
      </c>
      <c r="B7" s="2" t="s">
        <v>5</v>
      </c>
      <c r="C7" s="2" t="s">
        <v>6</v>
      </c>
      <c r="D7" s="2" t="s">
        <v>7</v>
      </c>
      <c r="E7" s="2" t="s">
        <v>8</v>
      </c>
    </row>
    <row r="8" spans="1:5" x14ac:dyDescent="0.35">
      <c r="A8" s="3" t="s">
        <v>9</v>
      </c>
      <c r="B8" s="1" t="s">
        <v>10</v>
      </c>
      <c r="C8" s="18" t="s">
        <v>171</v>
      </c>
      <c r="D8" s="3"/>
      <c r="E8" s="4" t="s">
        <v>11</v>
      </c>
    </row>
    <row r="9" spans="1:5" x14ac:dyDescent="0.35">
      <c r="A9" s="3" t="s">
        <v>12</v>
      </c>
      <c r="B9" s="1" t="s">
        <v>13</v>
      </c>
      <c r="C9" s="19">
        <v>256</v>
      </c>
      <c r="D9" s="3" t="s">
        <v>14</v>
      </c>
      <c r="E9" s="4" t="s">
        <v>15</v>
      </c>
    </row>
    <row r="10" spans="1:5" x14ac:dyDescent="0.35">
      <c r="A10" s="3" t="s">
        <v>16</v>
      </c>
      <c r="B10" s="1" t="s">
        <v>17</v>
      </c>
      <c r="C10" s="19">
        <v>1</v>
      </c>
      <c r="D10" s="3"/>
      <c r="E10" s="4" t="s">
        <v>18</v>
      </c>
    </row>
    <row r="11" spans="1:5" x14ac:dyDescent="0.35">
      <c r="A11" s="3" t="s">
        <v>19</v>
      </c>
      <c r="B11" s="1" t="s">
        <v>20</v>
      </c>
      <c r="C11" s="19">
        <v>2</v>
      </c>
      <c r="D11" s="3"/>
      <c r="E11" s="4" t="s">
        <v>21</v>
      </c>
    </row>
    <row r="12" spans="1:5" x14ac:dyDescent="0.35">
      <c r="A12" s="3" t="s">
        <v>22</v>
      </c>
      <c r="B12" s="1" t="s">
        <v>23</v>
      </c>
      <c r="C12" s="19">
        <v>3</v>
      </c>
      <c r="D12" s="3"/>
      <c r="E12" s="4" t="s">
        <v>24</v>
      </c>
    </row>
    <row r="13" spans="1:5" x14ac:dyDescent="0.35">
      <c r="A13" s="3" t="s">
        <v>25</v>
      </c>
      <c r="B13" s="1" t="s">
        <v>26</v>
      </c>
      <c r="C13" s="18" t="s">
        <v>173</v>
      </c>
      <c r="D13" s="3"/>
      <c r="E13" s="4" t="s">
        <v>27</v>
      </c>
    </row>
    <row r="14" spans="1:5" x14ac:dyDescent="0.35">
      <c r="A14" s="3" t="s">
        <v>28</v>
      </c>
      <c r="B14" s="1" t="s">
        <v>29</v>
      </c>
      <c r="C14" s="18" t="s">
        <v>30</v>
      </c>
      <c r="D14" s="3"/>
      <c r="E14" s="10" t="s">
        <v>156</v>
      </c>
    </row>
    <row r="15" spans="1:5" x14ac:dyDescent="0.35">
      <c r="A15" s="3" t="s">
        <v>31</v>
      </c>
      <c r="B15" s="1" t="s">
        <v>32</v>
      </c>
      <c r="C15" s="18" t="s">
        <v>33</v>
      </c>
      <c r="D15" s="3"/>
      <c r="E15" s="4" t="s">
        <v>34</v>
      </c>
    </row>
    <row r="17" spans="1:5" ht="15.5" x14ac:dyDescent="0.35">
      <c r="A17" s="22" t="s">
        <v>35</v>
      </c>
      <c r="B17" s="23"/>
      <c r="C17" s="23"/>
      <c r="D17" s="23"/>
      <c r="E17" s="23"/>
    </row>
    <row r="18" spans="1:5" x14ac:dyDescent="0.35">
      <c r="B18" s="30" t="s">
        <v>155</v>
      </c>
      <c r="C18" s="23"/>
      <c r="D18" s="23"/>
      <c r="E18" s="23"/>
    </row>
    <row r="19" spans="1:5" x14ac:dyDescent="0.35">
      <c r="A19" s="5" t="s">
        <v>4</v>
      </c>
      <c r="B19" s="5" t="s">
        <v>5</v>
      </c>
      <c r="C19" s="5" t="s">
        <v>6</v>
      </c>
      <c r="D19" s="5" t="s">
        <v>7</v>
      </c>
      <c r="E19" s="5" t="s">
        <v>8</v>
      </c>
    </row>
    <row r="20" spans="1:5" x14ac:dyDescent="0.35">
      <c r="A20" s="3" t="s">
        <v>36</v>
      </c>
      <c r="B20" s="1" t="s">
        <v>37</v>
      </c>
      <c r="C20" s="18" t="s">
        <v>38</v>
      </c>
      <c r="D20" s="3"/>
      <c r="E20" s="4" t="s">
        <v>39</v>
      </c>
    </row>
    <row r="21" spans="1:5" x14ac:dyDescent="0.35">
      <c r="A21" s="3" t="s">
        <v>40</v>
      </c>
      <c r="B21" s="1" t="s">
        <v>41</v>
      </c>
      <c r="C21" s="18" t="s">
        <v>38</v>
      </c>
      <c r="D21" s="3"/>
      <c r="E21" s="4" t="s">
        <v>42</v>
      </c>
    </row>
    <row r="23" spans="1:5" ht="15.5" x14ac:dyDescent="0.35">
      <c r="A23" s="22" t="s">
        <v>43</v>
      </c>
      <c r="B23" s="23"/>
      <c r="C23" s="23"/>
      <c r="D23" s="23"/>
      <c r="E23" s="23"/>
    </row>
    <row r="24" spans="1:5" ht="28.5" customHeight="1" x14ac:dyDescent="0.35">
      <c r="B24" s="28" t="s">
        <v>149</v>
      </c>
      <c r="C24" s="25"/>
      <c r="D24" s="25"/>
      <c r="E24" s="25"/>
    </row>
    <row r="25" spans="1:5" x14ac:dyDescent="0.35">
      <c r="A25" s="5" t="s">
        <v>4</v>
      </c>
      <c r="B25" s="5" t="s">
        <v>5</v>
      </c>
      <c r="C25" s="5" t="s">
        <v>6</v>
      </c>
      <c r="D25" s="5" t="s">
        <v>7</v>
      </c>
      <c r="E25" s="5" t="s">
        <v>8</v>
      </c>
    </row>
    <row r="26" spans="1:5" ht="108.5" x14ac:dyDescent="0.35">
      <c r="A26" s="12" t="s">
        <v>44</v>
      </c>
      <c r="B26" s="13" t="s">
        <v>45</v>
      </c>
      <c r="C26" s="20">
        <v>500</v>
      </c>
      <c r="D26" s="12" t="s">
        <v>46</v>
      </c>
      <c r="E26" s="11" t="s">
        <v>150</v>
      </c>
    </row>
    <row r="27" spans="1:5" ht="60.5" x14ac:dyDescent="0.35">
      <c r="A27" s="15" t="s">
        <v>47</v>
      </c>
      <c r="B27" s="16" t="s">
        <v>48</v>
      </c>
      <c r="C27" s="21">
        <v>75</v>
      </c>
      <c r="D27" s="15" t="s">
        <v>49</v>
      </c>
      <c r="E27" s="14" t="s">
        <v>147</v>
      </c>
    </row>
    <row r="28" spans="1:5" ht="24.5" x14ac:dyDescent="0.35">
      <c r="A28" s="12" t="s">
        <v>50</v>
      </c>
      <c r="B28" s="13" t="s">
        <v>51</v>
      </c>
      <c r="C28" s="21">
        <f>C26*C27</f>
        <v>37500</v>
      </c>
      <c r="D28" s="12" t="s">
        <v>49</v>
      </c>
      <c r="E28" s="14" t="s">
        <v>148</v>
      </c>
    </row>
    <row r="30" spans="1:5" ht="15.5" x14ac:dyDescent="0.35">
      <c r="A30" s="22" t="s">
        <v>52</v>
      </c>
      <c r="B30" s="23"/>
      <c r="C30" s="23"/>
      <c r="D30" s="23"/>
      <c r="E30" s="23"/>
    </row>
    <row r="31" spans="1:5" ht="42.5" customHeight="1" x14ac:dyDescent="0.35">
      <c r="B31" s="24" t="s">
        <v>153</v>
      </c>
      <c r="C31" s="25"/>
      <c r="D31" s="25"/>
      <c r="E31" s="25"/>
    </row>
    <row r="32" spans="1:5" x14ac:dyDescent="0.35">
      <c r="A32" s="5" t="s">
        <v>4</v>
      </c>
      <c r="B32" s="5" t="s">
        <v>5</v>
      </c>
      <c r="C32" s="5" t="s">
        <v>6</v>
      </c>
      <c r="D32" s="5" t="s">
        <v>7</v>
      </c>
      <c r="E32" s="5" t="s">
        <v>8</v>
      </c>
    </row>
    <row r="33" spans="1:5" x14ac:dyDescent="0.35">
      <c r="A33" s="3" t="s">
        <v>53</v>
      </c>
      <c r="B33" s="1" t="s">
        <v>54</v>
      </c>
      <c r="C33" s="18">
        <v>1.4</v>
      </c>
      <c r="D33" s="3" t="s">
        <v>14</v>
      </c>
      <c r="E33" s="10" t="s">
        <v>151</v>
      </c>
    </row>
    <row r="34" spans="1:5" x14ac:dyDescent="0.35">
      <c r="A34" s="3" t="s">
        <v>55</v>
      </c>
      <c r="B34" s="1" t="s">
        <v>56</v>
      </c>
      <c r="C34" s="18">
        <v>3</v>
      </c>
      <c r="D34" s="3" t="s">
        <v>14</v>
      </c>
      <c r="E34" s="10" t="s">
        <v>152</v>
      </c>
    </row>
    <row r="36" spans="1:5" ht="15.5" x14ac:dyDescent="0.35">
      <c r="A36" s="22" t="s">
        <v>57</v>
      </c>
      <c r="B36" s="23"/>
      <c r="C36" s="23"/>
      <c r="D36" s="23"/>
      <c r="E36" s="23"/>
    </row>
    <row r="37" spans="1:5" ht="33.5" customHeight="1" x14ac:dyDescent="0.35">
      <c r="B37" s="24" t="s">
        <v>159</v>
      </c>
      <c r="C37" s="25"/>
      <c r="D37" s="25"/>
      <c r="E37" s="25"/>
    </row>
    <row r="38" spans="1:5" x14ac:dyDescent="0.35">
      <c r="A38" s="5" t="s">
        <v>4</v>
      </c>
      <c r="B38" s="5" t="s">
        <v>5</v>
      </c>
      <c r="C38" s="5" t="s">
        <v>6</v>
      </c>
      <c r="D38" s="5" t="s">
        <v>7</v>
      </c>
      <c r="E38" s="5" t="s">
        <v>8</v>
      </c>
    </row>
    <row r="39" spans="1:5" ht="36.5" x14ac:dyDescent="0.35">
      <c r="A39" s="12" t="s">
        <v>58</v>
      </c>
      <c r="B39" s="13" t="s">
        <v>59</v>
      </c>
      <c r="C39" s="21">
        <v>500</v>
      </c>
      <c r="D39" s="12" t="s">
        <v>49</v>
      </c>
      <c r="E39" s="11" t="s">
        <v>157</v>
      </c>
    </row>
    <row r="40" spans="1:5" ht="36.5" x14ac:dyDescent="0.35">
      <c r="A40" s="12" t="s">
        <v>60</v>
      </c>
      <c r="B40" s="13" t="s">
        <v>61</v>
      </c>
      <c r="C40" s="21">
        <v>60</v>
      </c>
      <c r="D40" s="12" t="s">
        <v>49</v>
      </c>
      <c r="E40" s="11" t="s">
        <v>158</v>
      </c>
    </row>
    <row r="42" spans="1:5" ht="15.5" x14ac:dyDescent="0.35">
      <c r="A42" s="22" t="s">
        <v>62</v>
      </c>
      <c r="B42" s="23"/>
      <c r="C42" s="23"/>
      <c r="D42" s="23"/>
      <c r="E42" s="23"/>
    </row>
    <row r="43" spans="1:5" ht="43.5" customHeight="1" x14ac:dyDescent="0.35">
      <c r="B43" s="24" t="s">
        <v>161</v>
      </c>
      <c r="C43" s="25"/>
      <c r="D43" s="25"/>
      <c r="E43" s="25"/>
    </row>
    <row r="44" spans="1:5" x14ac:dyDescent="0.35">
      <c r="A44" s="5" t="s">
        <v>4</v>
      </c>
      <c r="B44" s="5" t="s">
        <v>5</v>
      </c>
      <c r="C44" s="5" t="s">
        <v>6</v>
      </c>
      <c r="D44" s="5" t="s">
        <v>7</v>
      </c>
      <c r="E44" s="5" t="s">
        <v>8</v>
      </c>
    </row>
    <row r="45" spans="1:5" x14ac:dyDescent="0.35">
      <c r="A45" s="3" t="s">
        <v>63</v>
      </c>
      <c r="B45" s="1" t="s">
        <v>64</v>
      </c>
      <c r="C45" s="18">
        <v>64</v>
      </c>
      <c r="D45" s="3" t="s">
        <v>65</v>
      </c>
      <c r="E45" s="10" t="s">
        <v>160</v>
      </c>
    </row>
    <row r="46" spans="1:5" ht="48.5" x14ac:dyDescent="0.35">
      <c r="A46" s="12" t="s">
        <v>66</v>
      </c>
      <c r="B46" s="13" t="s">
        <v>67</v>
      </c>
      <c r="C46" s="21">
        <v>100</v>
      </c>
      <c r="D46" s="12" t="s">
        <v>49</v>
      </c>
      <c r="E46" s="11" t="s">
        <v>162</v>
      </c>
    </row>
    <row r="47" spans="1:5" ht="84.5" x14ac:dyDescent="0.35">
      <c r="A47" s="12" t="s">
        <v>68</v>
      </c>
      <c r="B47" s="13" t="s">
        <v>69</v>
      </c>
      <c r="C47" s="21">
        <v>5</v>
      </c>
      <c r="D47" s="3"/>
      <c r="E47" s="11" t="s">
        <v>163</v>
      </c>
    </row>
    <row r="49" spans="1:5" ht="15.5" x14ac:dyDescent="0.35">
      <c r="A49" s="22" t="s">
        <v>70</v>
      </c>
      <c r="B49" s="23"/>
      <c r="C49" s="23"/>
      <c r="D49" s="23"/>
      <c r="E49" s="23"/>
    </row>
    <row r="50" spans="1:5" ht="58.5" customHeight="1" x14ac:dyDescent="0.35">
      <c r="B50" s="24" t="s">
        <v>168</v>
      </c>
      <c r="C50" s="25"/>
      <c r="D50" s="25"/>
      <c r="E50" s="25"/>
    </row>
    <row r="51" spans="1:5" x14ac:dyDescent="0.35">
      <c r="A51" s="5" t="s">
        <v>4</v>
      </c>
      <c r="B51" s="5" t="s">
        <v>5</v>
      </c>
      <c r="C51" s="5" t="s">
        <v>6</v>
      </c>
      <c r="D51" s="5" t="s">
        <v>7</v>
      </c>
      <c r="E51" s="5" t="s">
        <v>8</v>
      </c>
    </row>
    <row r="52" spans="1:5" ht="24.5" x14ac:dyDescent="0.35">
      <c r="A52" s="12" t="s">
        <v>71</v>
      </c>
      <c r="B52" s="13" t="s">
        <v>72</v>
      </c>
      <c r="C52" s="21">
        <v>1800</v>
      </c>
      <c r="D52" s="12" t="s">
        <v>49</v>
      </c>
      <c r="E52" s="11" t="s">
        <v>164</v>
      </c>
    </row>
    <row r="53" spans="1:5" ht="72.5" x14ac:dyDescent="0.35">
      <c r="A53" s="12" t="s">
        <v>73</v>
      </c>
      <c r="B53" s="13" t="s">
        <v>74</v>
      </c>
      <c r="C53" s="21">
        <v>75</v>
      </c>
      <c r="D53" s="12" t="s">
        <v>49</v>
      </c>
      <c r="E53" s="11" t="s">
        <v>169</v>
      </c>
    </row>
    <row r="54" spans="1:5" x14ac:dyDescent="0.35">
      <c r="A54" s="12" t="s">
        <v>75</v>
      </c>
      <c r="B54" s="13" t="s">
        <v>76</v>
      </c>
      <c r="C54" s="21">
        <v>0.5</v>
      </c>
      <c r="D54" s="12" t="s">
        <v>77</v>
      </c>
      <c r="E54" s="10" t="s">
        <v>165</v>
      </c>
    </row>
    <row r="55" spans="1:5" ht="24.5" x14ac:dyDescent="0.35">
      <c r="A55" s="12" t="s">
        <v>78</v>
      </c>
      <c r="B55" s="13" t="s">
        <v>79</v>
      </c>
      <c r="C55" s="20">
        <v>5</v>
      </c>
      <c r="D55" s="12" t="s">
        <v>77</v>
      </c>
      <c r="E55" s="11" t="s">
        <v>166</v>
      </c>
    </row>
    <row r="56" spans="1:5" ht="24.5" x14ac:dyDescent="0.35">
      <c r="A56" s="12" t="s">
        <v>80</v>
      </c>
      <c r="B56" s="13" t="s">
        <v>81</v>
      </c>
      <c r="C56" s="20">
        <v>12</v>
      </c>
      <c r="D56" s="12" t="s">
        <v>77</v>
      </c>
      <c r="E56" s="11" t="s">
        <v>167</v>
      </c>
    </row>
    <row r="58" spans="1:5" ht="15.5" x14ac:dyDescent="0.35">
      <c r="A58" s="22" t="s">
        <v>82</v>
      </c>
      <c r="B58" s="23"/>
      <c r="C58" s="23"/>
      <c r="D58" s="23"/>
      <c r="E58" s="23"/>
    </row>
    <row r="59" spans="1:5" x14ac:dyDescent="0.35">
      <c r="A59" s="5" t="s">
        <v>4</v>
      </c>
      <c r="B59" s="5" t="s">
        <v>5</v>
      </c>
      <c r="C59" s="5" t="s">
        <v>6</v>
      </c>
      <c r="D59" s="5" t="s">
        <v>7</v>
      </c>
      <c r="E59" s="5" t="s">
        <v>8</v>
      </c>
    </row>
    <row r="60" spans="1:5" x14ac:dyDescent="0.35">
      <c r="A60" s="3" t="s">
        <v>83</v>
      </c>
      <c r="B60" s="1" t="s">
        <v>84</v>
      </c>
      <c r="C60" s="18" t="s">
        <v>170</v>
      </c>
      <c r="D60" s="3"/>
      <c r="E60" s="4" t="s">
        <v>85</v>
      </c>
    </row>
    <row r="61" spans="1:5" x14ac:dyDescent="0.35">
      <c r="A61" s="3" t="s">
        <v>86</v>
      </c>
      <c r="B61" s="1" t="s">
        <v>87</v>
      </c>
      <c r="C61" s="18" t="s">
        <v>172</v>
      </c>
      <c r="D61" s="3"/>
      <c r="E61" s="4" t="s">
        <v>88</v>
      </c>
    </row>
    <row r="62" spans="1:5" x14ac:dyDescent="0.35">
      <c r="A62" s="3" t="s">
        <v>89</v>
      </c>
      <c r="B62" s="1" t="s">
        <v>90</v>
      </c>
      <c r="C62" s="18" t="s">
        <v>30</v>
      </c>
      <c r="D62" s="3"/>
      <c r="E62" s="4" t="s">
        <v>91</v>
      </c>
    </row>
    <row r="63" spans="1:5" x14ac:dyDescent="0.35">
      <c r="A63" s="3" t="s">
        <v>92</v>
      </c>
      <c r="B63" s="1" t="s">
        <v>93</v>
      </c>
      <c r="C63" s="18" t="s">
        <v>30</v>
      </c>
      <c r="D63" s="3"/>
      <c r="E63" s="4" t="s">
        <v>94</v>
      </c>
    </row>
  </sheetData>
  <sheetProtection sheet="1" objects="1" scenarios="1" formatCells="0"/>
  <mergeCells count="17">
    <mergeCell ref="A1:E1"/>
    <mergeCell ref="A23:E23"/>
    <mergeCell ref="B24:E24"/>
    <mergeCell ref="A36:E36"/>
    <mergeCell ref="B37:E37"/>
    <mergeCell ref="A6:E6"/>
    <mergeCell ref="A17:E17"/>
    <mergeCell ref="C4:E4"/>
    <mergeCell ref="A30:E30"/>
    <mergeCell ref="B31:E31"/>
    <mergeCell ref="B18:E18"/>
    <mergeCell ref="A58:E58"/>
    <mergeCell ref="B50:E50"/>
    <mergeCell ref="A2:E2"/>
    <mergeCell ref="B43:E43"/>
    <mergeCell ref="A42:E42"/>
    <mergeCell ref="A49:E49"/>
  </mergeCells>
  <dataValidations count="2">
    <dataValidation type="list" allowBlank="1" showInputMessage="1" showErrorMessage="1" sqref="C14 A15:A20 C21 B19:B20 D19:E20 C20 B15:B17 D15:E17 C16:C17 C62:C63" xr:uid="{6C3E0A41-53E5-4F2A-9816-8ADE4B8CD381}">
      <formula1>"TRUE,FALSE"</formula1>
    </dataValidation>
    <dataValidation type="list" allowBlank="1" showInputMessage="1" showErrorMessage="1" sqref="C13" xr:uid="{28E73B79-F7B7-42A1-B912-A996F4122501}">
      <formula1>"g,m/s2"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B71"/>
  <sheetViews>
    <sheetView workbookViewId="0">
      <selection activeCell="B67" sqref="B67"/>
    </sheetView>
  </sheetViews>
  <sheetFormatPr baseColWidth="10" defaultColWidth="8.7265625" defaultRowHeight="14.5" x14ac:dyDescent="0.35"/>
  <cols>
    <col min="1" max="1" width="3" customWidth="1"/>
    <col min="2" max="2" width="100" customWidth="1"/>
  </cols>
  <sheetData>
    <row r="1" spans="2:2" ht="20" x14ac:dyDescent="0.4">
      <c r="B1" s="6" t="s">
        <v>95</v>
      </c>
    </row>
    <row r="2" spans="2:2" x14ac:dyDescent="0.35">
      <c r="B2" s="3"/>
    </row>
    <row r="3" spans="2:2" x14ac:dyDescent="0.35">
      <c r="B3" s="3" t="s">
        <v>96</v>
      </c>
    </row>
    <row r="4" spans="2:2" x14ac:dyDescent="0.35">
      <c r="B4" s="3" t="s">
        <v>133</v>
      </c>
    </row>
    <row r="5" spans="2:2" x14ac:dyDescent="0.35">
      <c r="B5" s="3"/>
    </row>
    <row r="6" spans="2:2" ht="15.5" x14ac:dyDescent="0.35">
      <c r="B6" s="7" t="s">
        <v>97</v>
      </c>
    </row>
    <row r="7" spans="2:2" x14ac:dyDescent="0.35">
      <c r="B7" s="3"/>
    </row>
    <row r="8" spans="2:2" x14ac:dyDescent="0.35">
      <c r="B8" s="3" t="s">
        <v>98</v>
      </c>
    </row>
    <row r="9" spans="2:2" x14ac:dyDescent="0.35">
      <c r="B9" s="8" t="s">
        <v>144</v>
      </c>
    </row>
    <row r="10" spans="2:2" x14ac:dyDescent="0.35">
      <c r="B10" s="8" t="s">
        <v>145</v>
      </c>
    </row>
    <row r="11" spans="2:2" x14ac:dyDescent="0.35">
      <c r="B11" s="3"/>
    </row>
    <row r="12" spans="2:2" ht="15.5" x14ac:dyDescent="0.35">
      <c r="B12" s="7" t="s">
        <v>99</v>
      </c>
    </row>
    <row r="13" spans="2:2" x14ac:dyDescent="0.35">
      <c r="B13" s="3"/>
    </row>
    <row r="14" spans="2:2" x14ac:dyDescent="0.35">
      <c r="B14" s="3" t="s">
        <v>100</v>
      </c>
    </row>
    <row r="15" spans="2:2" x14ac:dyDescent="0.35">
      <c r="B15" s="3" t="s">
        <v>101</v>
      </c>
    </row>
    <row r="16" spans="2:2" x14ac:dyDescent="0.35">
      <c r="B16" s="3" t="s">
        <v>134</v>
      </c>
    </row>
    <row r="17" spans="2:2" x14ac:dyDescent="0.35">
      <c r="B17" s="3" t="s">
        <v>135</v>
      </c>
    </row>
    <row r="18" spans="2:2" x14ac:dyDescent="0.35">
      <c r="B18" s="3" t="s">
        <v>136</v>
      </c>
    </row>
    <row r="19" spans="2:2" x14ac:dyDescent="0.35">
      <c r="B19" s="3"/>
    </row>
    <row r="20" spans="2:2" x14ac:dyDescent="0.35">
      <c r="B20" s="3" t="s">
        <v>102</v>
      </c>
    </row>
    <row r="21" spans="2:2" x14ac:dyDescent="0.35">
      <c r="B21" s="3" t="s">
        <v>103</v>
      </c>
    </row>
    <row r="22" spans="2:2" x14ac:dyDescent="0.35">
      <c r="B22" s="3"/>
    </row>
    <row r="23" spans="2:2" x14ac:dyDescent="0.35">
      <c r="B23" s="3" t="s">
        <v>104</v>
      </c>
    </row>
    <row r="24" spans="2:2" x14ac:dyDescent="0.35">
      <c r="B24" s="3" t="s">
        <v>137</v>
      </c>
    </row>
    <row r="25" spans="2:2" x14ac:dyDescent="0.35">
      <c r="B25" s="3" t="s">
        <v>105</v>
      </c>
    </row>
    <row r="26" spans="2:2" x14ac:dyDescent="0.35">
      <c r="B26" s="3"/>
    </row>
    <row r="27" spans="2:2" x14ac:dyDescent="0.35">
      <c r="B27" s="3" t="s">
        <v>106</v>
      </c>
    </row>
    <row r="28" spans="2:2" x14ac:dyDescent="0.35">
      <c r="B28" s="3" t="s">
        <v>138</v>
      </c>
    </row>
    <row r="29" spans="2:2" x14ac:dyDescent="0.35">
      <c r="B29" s="3" t="s">
        <v>139</v>
      </c>
    </row>
    <row r="30" spans="2:2" x14ac:dyDescent="0.35">
      <c r="B30" s="3"/>
    </row>
    <row r="31" spans="2:2" ht="15.5" x14ac:dyDescent="0.35">
      <c r="B31" s="7" t="s">
        <v>107</v>
      </c>
    </row>
    <row r="32" spans="2:2" x14ac:dyDescent="0.35">
      <c r="B32" s="3"/>
    </row>
    <row r="33" spans="2:2" x14ac:dyDescent="0.35">
      <c r="B33" s="3" t="s">
        <v>108</v>
      </c>
    </row>
    <row r="34" spans="2:2" x14ac:dyDescent="0.35">
      <c r="B34" s="3" t="s">
        <v>109</v>
      </c>
    </row>
    <row r="35" spans="2:2" x14ac:dyDescent="0.35">
      <c r="B35" s="3" t="s">
        <v>110</v>
      </c>
    </row>
    <row r="36" spans="2:2" x14ac:dyDescent="0.35">
      <c r="B36" s="3" t="s">
        <v>111</v>
      </c>
    </row>
    <row r="37" spans="2:2" x14ac:dyDescent="0.35">
      <c r="B37" s="3"/>
    </row>
    <row r="38" spans="2:2" ht="15.5" x14ac:dyDescent="0.35">
      <c r="B38" s="7" t="s">
        <v>112</v>
      </c>
    </row>
    <row r="39" spans="2:2" x14ac:dyDescent="0.35">
      <c r="B39" s="3"/>
    </row>
    <row r="40" spans="2:2" x14ac:dyDescent="0.35">
      <c r="B40" s="1" t="s">
        <v>113</v>
      </c>
    </row>
    <row r="41" spans="2:2" x14ac:dyDescent="0.35">
      <c r="B41" s="3" t="s">
        <v>114</v>
      </c>
    </row>
    <row r="42" spans="2:2" x14ac:dyDescent="0.35">
      <c r="B42" s="3" t="s">
        <v>140</v>
      </c>
    </row>
    <row r="43" spans="2:2" x14ac:dyDescent="0.35">
      <c r="B43" s="3"/>
    </row>
    <row r="44" spans="2:2" x14ac:dyDescent="0.35">
      <c r="B44" s="1" t="s">
        <v>115</v>
      </c>
    </row>
    <row r="45" spans="2:2" x14ac:dyDescent="0.35">
      <c r="B45" s="3" t="s">
        <v>116</v>
      </c>
    </row>
    <row r="46" spans="2:2" x14ac:dyDescent="0.35">
      <c r="B46" s="3" t="s">
        <v>117</v>
      </c>
    </row>
    <row r="47" spans="2:2" x14ac:dyDescent="0.35">
      <c r="B47" s="3" t="s">
        <v>118</v>
      </c>
    </row>
    <row r="48" spans="2:2" x14ac:dyDescent="0.35">
      <c r="B48" s="3"/>
    </row>
    <row r="49" spans="2:2" ht="15.5" x14ac:dyDescent="0.35">
      <c r="B49" s="7" t="s">
        <v>119</v>
      </c>
    </row>
    <row r="50" spans="2:2" x14ac:dyDescent="0.35">
      <c r="B50" s="3"/>
    </row>
    <row r="51" spans="2:2" x14ac:dyDescent="0.35">
      <c r="B51" s="3" t="s">
        <v>120</v>
      </c>
    </row>
    <row r="52" spans="2:2" x14ac:dyDescent="0.35">
      <c r="B52" s="3" t="s">
        <v>121</v>
      </c>
    </row>
    <row r="53" spans="2:2" x14ac:dyDescent="0.35">
      <c r="B53" s="3" t="s">
        <v>122</v>
      </c>
    </row>
    <row r="54" spans="2:2" x14ac:dyDescent="0.35">
      <c r="B54" s="3"/>
    </row>
    <row r="55" spans="2:2" x14ac:dyDescent="0.35">
      <c r="B55" s="3" t="s">
        <v>123</v>
      </c>
    </row>
    <row r="56" spans="2:2" x14ac:dyDescent="0.35">
      <c r="B56" s="3" t="s">
        <v>124</v>
      </c>
    </row>
    <row r="57" spans="2:2" x14ac:dyDescent="0.35">
      <c r="B57" s="3" t="s">
        <v>125</v>
      </c>
    </row>
    <row r="58" spans="2:2" x14ac:dyDescent="0.35">
      <c r="B58" s="3"/>
    </row>
    <row r="59" spans="2:2" x14ac:dyDescent="0.35">
      <c r="B59" s="3" t="s">
        <v>126</v>
      </c>
    </row>
    <row r="60" spans="2:2" x14ac:dyDescent="0.35">
      <c r="B60" s="3" t="s">
        <v>127</v>
      </c>
    </row>
    <row r="61" spans="2:2" x14ac:dyDescent="0.35">
      <c r="B61" s="3" t="s">
        <v>128</v>
      </c>
    </row>
    <row r="62" spans="2:2" x14ac:dyDescent="0.35">
      <c r="B62" s="3"/>
    </row>
    <row r="63" spans="2:2" x14ac:dyDescent="0.35">
      <c r="B63" s="3" t="s">
        <v>129</v>
      </c>
    </row>
    <row r="64" spans="2:2" x14ac:dyDescent="0.35">
      <c r="B64" s="3" t="s">
        <v>141</v>
      </c>
    </row>
    <row r="65" spans="2:2" x14ac:dyDescent="0.35">
      <c r="B65" s="3" t="s">
        <v>142</v>
      </c>
    </row>
    <row r="66" spans="2:2" x14ac:dyDescent="0.35">
      <c r="B66" s="3"/>
    </row>
    <row r="67" spans="2:2" ht="15.5" x14ac:dyDescent="0.35">
      <c r="B67" s="7" t="s">
        <v>130</v>
      </c>
    </row>
    <row r="68" spans="2:2" x14ac:dyDescent="0.35">
      <c r="B68" s="3"/>
    </row>
    <row r="69" spans="2:2" x14ac:dyDescent="0.35">
      <c r="B69" s="3" t="s">
        <v>131</v>
      </c>
    </row>
    <row r="70" spans="2:2" x14ac:dyDescent="0.35">
      <c r="B70" s="3" t="s">
        <v>132</v>
      </c>
    </row>
    <row r="71" spans="2:2" x14ac:dyDescent="0.35">
      <c r="B71" s="9" t="s">
        <v>143</v>
      </c>
    </row>
  </sheetData>
  <hyperlinks>
    <hyperlink ref="B71" r:id="rId1" xr:uid="{800236A2-538E-4E34-AD04-5034020DF71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1_Configuration</vt:lpstr>
      <vt:lpstr>2_Documentation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Terrier Philippe</cp:lastModifiedBy>
  <dcterms:created xsi:type="dcterms:W3CDTF">2026-02-05T14:44:53Z</dcterms:created>
  <dcterms:modified xsi:type="dcterms:W3CDTF">2026-02-17T09:47:26Z</dcterms:modified>
</cp:coreProperties>
</file>